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burd\Projects\310_Projects\310-water-sensing\Transmitter\Probe_Model\"/>
    </mc:Choice>
  </mc:AlternateContent>
  <xr:revisionPtr revIDLastSave="12" documentId="8_{470A86D2-07FA-42C3-A968-C3F1F66E2417}" xr6:coauthVersionLast="47" xr6:coauthVersionMax="47" xr10:uidLastSave="{8427E4C8-FEA8-4672-8FCD-45230201A9DB}"/>
  <bookViews>
    <workbookView xWindow="-108" yWindow="-108" windowWidth="23256" windowHeight="12456" activeTab="3" xr2:uid="{F145DA7B-FC01-4C9B-B2EC-340B2B2846E7}"/>
  </bookViews>
  <sheets>
    <sheet name="Silicone Rubber" sheetId="4" r:id="rId1"/>
    <sheet name="PVC" sheetId="2" r:id="rId2"/>
    <sheet name="Comparison" sheetId="3" r:id="rId3"/>
    <sheet name="Accuracy (PVC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E6" i="5"/>
  <c r="D6" i="5"/>
  <c r="E5" i="5"/>
  <c r="F5" i="5" s="1"/>
  <c r="D5" i="5"/>
  <c r="F4" i="5"/>
  <c r="E4" i="5"/>
  <c r="D4" i="5"/>
  <c r="E3" i="5"/>
  <c r="F3" i="5" s="1"/>
  <c r="D3" i="5"/>
  <c r="E2" i="5"/>
  <c r="F2" i="5" s="1"/>
  <c r="D2" i="5"/>
  <c r="J13" i="2"/>
  <c r="H13" i="2"/>
  <c r="G13" i="2"/>
  <c r="H12" i="2"/>
  <c r="G12" i="2"/>
  <c r="J11" i="2"/>
  <c r="H11" i="2"/>
  <c r="G11" i="2"/>
  <c r="H10" i="2"/>
  <c r="G10" i="2"/>
  <c r="J9" i="2"/>
  <c r="H9" i="2"/>
  <c r="G9" i="2"/>
  <c r="H8" i="2"/>
  <c r="G8" i="2"/>
  <c r="J7" i="2"/>
  <c r="H7" i="2"/>
  <c r="G7" i="2"/>
  <c r="H6" i="2"/>
  <c r="G6" i="2"/>
  <c r="J5" i="2"/>
  <c r="H5" i="2"/>
  <c r="G5" i="2"/>
  <c r="H4" i="2"/>
  <c r="G4" i="2"/>
  <c r="J3" i="2"/>
  <c r="H3" i="2"/>
  <c r="G3" i="2"/>
  <c r="H2" i="2"/>
  <c r="G2" i="2"/>
  <c r="J13" i="4"/>
  <c r="H13" i="4"/>
  <c r="G13" i="4"/>
  <c r="H12" i="4"/>
  <c r="G12" i="4"/>
  <c r="J11" i="4"/>
  <c r="H11" i="4"/>
  <c r="G11" i="4"/>
  <c r="H10" i="4"/>
  <c r="G10" i="4"/>
  <c r="J9" i="4"/>
  <c r="H9" i="4"/>
  <c r="G9" i="4"/>
  <c r="H8" i="4"/>
  <c r="G8" i="4"/>
  <c r="J7" i="4"/>
  <c r="H7" i="4"/>
  <c r="G7" i="4"/>
  <c r="H6" i="4"/>
  <c r="G6" i="4"/>
  <c r="J5" i="4"/>
  <c r="H5" i="4"/>
  <c r="G5" i="4"/>
  <c r="H4" i="4"/>
  <c r="G4" i="4"/>
  <c r="J3" i="4"/>
  <c r="H3" i="4"/>
  <c r="G3" i="4"/>
  <c r="H2" i="4"/>
  <c r="G2" i="4"/>
</calcChain>
</file>

<file path=xl/sharedStrings.xml><?xml version="1.0" encoding="utf-8"?>
<sst xmlns="http://schemas.openxmlformats.org/spreadsheetml/2006/main" count="55" uniqueCount="33">
  <si>
    <t>25% Water</t>
  </si>
  <si>
    <t>50% Water</t>
  </si>
  <si>
    <t>75% Water</t>
  </si>
  <si>
    <t>Water Level (mm)</t>
  </si>
  <si>
    <t>Total Capacitance (pF)</t>
  </si>
  <si>
    <t>100% Air</t>
  </si>
  <si>
    <t>0% Water</t>
  </si>
  <si>
    <t>80% Air</t>
  </si>
  <si>
    <t>20% Water</t>
  </si>
  <si>
    <t>50% Air</t>
  </si>
  <si>
    <t>0% Air</t>
  </si>
  <si>
    <t>100% Water</t>
  </si>
  <si>
    <t>Capacitance</t>
  </si>
  <si>
    <t>Charge (Q)</t>
  </si>
  <si>
    <t>Stored Energy (J)</t>
  </si>
  <si>
    <t>Applied Voltage (V)</t>
  </si>
  <si>
    <t>Material</t>
  </si>
  <si>
    <t>75% Air</t>
  </si>
  <si>
    <t>25% Air</t>
  </si>
  <si>
    <t>PVC (ε_r = 6.8)</t>
  </si>
  <si>
    <t>Rubber (ε_r = 2.5)</t>
  </si>
  <si>
    <t>Capacitance (F)</t>
  </si>
  <si>
    <t>Full</t>
  </si>
  <si>
    <t>Empty</t>
  </si>
  <si>
    <t>Half-Full</t>
  </si>
  <si>
    <t>Energy Theory (J)</t>
  </si>
  <si>
    <t>Silicone Rubber</t>
  </si>
  <si>
    <t>Polyvinyl Chloride (PVC)</t>
  </si>
  <si>
    <t>Water Level (%)</t>
  </si>
  <si>
    <r>
      <t>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</si>
  <si>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t>Accuracy (%)</t>
  </si>
  <si>
    <t>Capacitance (pF)</t>
  </si>
  <si>
    <r>
      <t>Maximum Theoretical Error ΔV 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</si>
</sst>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2" xfId="0" applyBorder="1"/>
    <xf numFmtId="11" fontId="0" fillId="0" borderId="2" xfId="0" applyNumberFormat="1" applyBorder="1"/>
    <xf numFmtId="0" fontId="0" fillId="0" borderId="5" xfId="0" applyBorder="1"/>
    <xf numFmtId="11" fontId="0" fillId="0" borderId="5" xfId="0" applyNumberFormat="1" applyBorder="1"/>
    <xf numFmtId="0" fontId="0" fillId="0" borderId="1" xfId="0" applyBorder="1"/>
    <xf numFmtId="0" fontId="0" fillId="0" borderId="4" xfId="0" applyBorder="1"/>
    <xf numFmtId="11" fontId="0" fillId="0" borderId="8" xfId="0" applyNumberFormat="1" applyBorder="1"/>
    <xf numFmtId="11" fontId="0" fillId="0" borderId="9" xfId="0" applyNumberFormat="1" applyBorder="1"/>
    <xf numFmtId="11" fontId="0" fillId="0" borderId="11" xfId="0" applyNumberFormat="1" applyBorder="1"/>
    <xf numFmtId="11" fontId="0" fillId="0" borderId="13" xfId="0" applyNumberFormat="1" applyBorder="1"/>
    <xf numFmtId="11" fontId="0" fillId="0" borderId="15" xfId="0" applyNumberFormat="1" applyBorder="1"/>
    <xf numFmtId="11" fontId="0" fillId="0" borderId="16" xfId="0" applyNumberFormat="1" applyBorder="1"/>
    <xf numFmtId="11" fontId="0" fillId="0" borderId="0" xfId="0" applyNumberFormat="1"/>
    <xf numFmtId="0" fontId="0" fillId="0" borderId="17" xfId="0" applyBorder="1"/>
    <xf numFmtId="11" fontId="0" fillId="0" borderId="7" xfId="0" applyNumberFormat="1" applyBorder="1"/>
    <xf numFmtId="11" fontId="0" fillId="0" borderId="10" xfId="0" applyNumberFormat="1" applyBorder="1"/>
    <xf numFmtId="11" fontId="0" fillId="0" borderId="12" xfId="0" applyNumberFormat="1" applyBorder="1"/>
    <xf numFmtId="11" fontId="0" fillId="0" borderId="14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1" fontId="0" fillId="0" borderId="18" xfId="0" applyNumberFormat="1" applyBorder="1"/>
    <xf numFmtId="11" fontId="0" fillId="0" borderId="19" xfId="0" applyNumberFormat="1" applyBorder="1"/>
    <xf numFmtId="1" fontId="0" fillId="0" borderId="6" xfId="0" applyNumberFormat="1" applyBorder="1"/>
    <xf numFmtId="9" fontId="0" fillId="0" borderId="0" xfId="1" applyFont="1"/>
    <xf numFmtId="10" fontId="0" fillId="0" borderId="0" xfId="1" applyNumberFormat="1" applyFont="1"/>
    <xf numFmtId="0" fontId="0" fillId="0" borderId="0" xfId="1" applyNumberFormat="1" applyFont="1"/>
    <xf numFmtId="9" fontId="0" fillId="0" borderId="20" xfId="1" applyFont="1" applyBorder="1"/>
    <xf numFmtId="0" fontId="0" fillId="0" borderId="20" xfId="1" applyNumberFormat="1" applyFont="1" applyBorder="1"/>
    <xf numFmtId="0" fontId="0" fillId="0" borderId="20" xfId="0" applyBorder="1"/>
    <xf numFmtId="10" fontId="0" fillId="0" borderId="20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Probe</a:t>
            </a:r>
            <a:r>
              <a:rPr lang="en-NZ" baseline="0"/>
              <a:t> Capacitance by Water Level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0.13119152313752988"/>
          <c:y val="0.14058695078464425"/>
          <c:w val="0.81903729566271744"/>
          <c:h val="0.59398384384014968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Silicone Rubber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Comparison!$A$2:$A$6</c:f>
              <c:numCache>
                <c:formatCode>General</c:formatCode>
                <c:ptCount val="5"/>
                <c:pt idx="0">
                  <c:v>0</c:v>
                </c:pt>
                <c:pt idx="1">
                  <c:v>625</c:v>
                </c:pt>
                <c:pt idx="2">
                  <c:v>1250</c:v>
                </c:pt>
                <c:pt idx="3">
                  <c:v>1875</c:v>
                </c:pt>
                <c:pt idx="4">
                  <c:v>2500</c:v>
                </c:pt>
              </c:numCache>
            </c:numRef>
          </c:xVal>
          <c:yVal>
            <c:numRef>
              <c:f>Comparison!$B$2:$B$6</c:f>
              <c:numCache>
                <c:formatCode>0</c:formatCode>
                <c:ptCount val="5"/>
                <c:pt idx="0">
                  <c:v>87.930599999999998</c:v>
                </c:pt>
                <c:pt idx="1">
                  <c:v>212.99699999999999</c:v>
                </c:pt>
                <c:pt idx="2">
                  <c:v>338.06339999999994</c:v>
                </c:pt>
                <c:pt idx="3">
                  <c:v>463.13059999999996</c:v>
                </c:pt>
                <c:pt idx="4">
                  <c:v>588.19599999999991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A-444C-9E8A-809562457705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Polyvinyl Chloride (PVC)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Comparison!$A$2:$A$6</c:f>
              <c:numCache>
                <c:formatCode>General</c:formatCode>
                <c:ptCount val="5"/>
                <c:pt idx="0">
                  <c:v>0</c:v>
                </c:pt>
                <c:pt idx="1">
                  <c:v>625</c:v>
                </c:pt>
                <c:pt idx="2">
                  <c:v>1250</c:v>
                </c:pt>
                <c:pt idx="3">
                  <c:v>1875</c:v>
                </c:pt>
                <c:pt idx="4">
                  <c:v>2500</c:v>
                </c:pt>
              </c:numCache>
            </c:numRef>
          </c:xVal>
          <c:yVal>
            <c:numRef>
              <c:f>Comparison!$C$2:$C$6</c:f>
              <c:numCache>
                <c:formatCode>0</c:formatCode>
                <c:ptCount val="5"/>
                <c:pt idx="0">
                  <c:v>142.65219999999999</c:v>
                </c:pt>
                <c:pt idx="1">
                  <c:v>444.15060000000005</c:v>
                </c:pt>
                <c:pt idx="2">
                  <c:v>745.10800000000006</c:v>
                </c:pt>
                <c:pt idx="3">
                  <c:v>1046.5708</c:v>
                </c:pt>
                <c:pt idx="4">
                  <c:v>1347.5620000000001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9A-444C-9E8A-8095624577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7410520"/>
        <c:axId val="577413400"/>
      </c:scatterChart>
      <c:valAx>
        <c:axId val="57741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Water</a:t>
                </a:r>
                <a:r>
                  <a:rPr lang="en-NZ" baseline="0"/>
                  <a:t> Level (mm)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13400"/>
        <c:crosses val="autoZero"/>
        <c:crossBetween val="midCat"/>
      </c:valAx>
      <c:valAx>
        <c:axId val="57741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Probe Capacitance (pF)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10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Theoretical</a:t>
            </a:r>
            <a:r>
              <a:rPr lang="en-NZ" baseline="0"/>
              <a:t> </a:t>
            </a:r>
            <a:r>
              <a:rPr lang="en-NZ"/>
              <a:t>Accuracy vs</a:t>
            </a:r>
            <a:r>
              <a:rPr lang="en-NZ" baseline="0"/>
              <a:t> Water Level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 (PVC)'!$F$1</c:f>
              <c:strCache>
                <c:ptCount val="1"/>
                <c:pt idx="0">
                  <c:v>Accuracy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'Accuracy (PVC)'!$D$2:$D$6</c:f>
              <c:numCache>
                <c:formatCode>General</c:formatCode>
                <c:ptCount val="5"/>
                <c:pt idx="0">
                  <c:v>250</c:v>
                </c:pt>
                <c:pt idx="1">
                  <c:v>625</c:v>
                </c:pt>
                <c:pt idx="2">
                  <c:v>1250</c:v>
                </c:pt>
                <c:pt idx="3">
                  <c:v>1875</c:v>
                </c:pt>
                <c:pt idx="4">
                  <c:v>2500</c:v>
                </c:pt>
              </c:numCache>
            </c:numRef>
          </c:xVal>
          <c:yVal>
            <c:numRef>
              <c:f>'Accuracy (PVC)'!$F$2:$F$6</c:f>
              <c:numCache>
                <c:formatCode>0.00%</c:formatCode>
                <c:ptCount val="5"/>
                <c:pt idx="0">
                  <c:v>0.975104767889859</c:v>
                </c:pt>
                <c:pt idx="1">
                  <c:v>0.99004190715594353</c:v>
                </c:pt>
                <c:pt idx="2">
                  <c:v>0.99502095357797182</c:v>
                </c:pt>
                <c:pt idx="3">
                  <c:v>0.99668063571864784</c:v>
                </c:pt>
                <c:pt idx="4">
                  <c:v>0.99751047678898586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D8-4C33-81DC-161410FF029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5D8-4C33-81DC-161410FF0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306447"/>
        <c:axId val="1701307407"/>
      </c:scatterChart>
      <c:valAx>
        <c:axId val="1701306447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Water Level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307407"/>
        <c:crosses val="autoZero"/>
        <c:crossBetween val="midCat"/>
      </c:valAx>
      <c:valAx>
        <c:axId val="1701307407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Accuracy</a:t>
                </a:r>
                <a:r>
                  <a:rPr lang="en-NZ" baseline="0"/>
                  <a:t> (%)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30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333374</xdr:colOff>
      <xdr:row>1</xdr:row>
      <xdr:rowOff>14286</xdr:rowOff>
    </xdr:from>
    <xdr:to>
      <xdr:col>11</xdr:col>
      <xdr:colOff>590549</xdr:colOff>
      <xdr:row>18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E0602-7B89-504A-2697-3D458D687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254793</xdr:colOff>
      <xdr:row>6</xdr:row>
      <xdr:rowOff>95250</xdr:rowOff>
    </xdr:from>
    <xdr:to>
      <xdr:col>6</xdr:col>
      <xdr:colOff>945355</xdr:colOff>
      <xdr:row>21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584BA-CB41-1D25-FA18-8072F118A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20C9-0485-4A45-A12F-807F02B58A2A}">
  <dimension ref="A1:L13"/>
  <sheetViews>
    <sheetView workbookViewId="0">
      <selection activeCell="H18" sqref="H18"/>
    </sheetView>
  </sheetViews>
  <sheetFormatPr defaultRowHeight="14.4" x14ac:dyDescent="0.3"/>
  <cols>
    <col min="1" max="1" width="18.77734375" bestFit="1" customWidth="1"/>
    <col min="2" max="2" width="8.77734375" customWidth="1"/>
    <col min="3" max="3" width="12.77734375" customWidth="1"/>
    <col min="4" max="4" width="11.44140625" bestFit="1" customWidth="1"/>
    <col min="5" max="5" width="16" bestFit="1" customWidth="1"/>
    <col min="6" max="6" width="10.44140625" bestFit="1" customWidth="1"/>
    <col min="7" max="7" width="14.5546875" bestFit="1" customWidth="1"/>
    <col min="8" max="8" width="16.44140625" bestFit="1" customWidth="1"/>
    <col min="10" max="10" width="21.44140625" bestFit="1" customWidth="1"/>
    <col min="11" max="11" width="18.109375" customWidth="1"/>
    <col min="12" max="12" width="17.5546875" customWidth="1"/>
  </cols>
  <sheetData>
    <row r="1" spans="1:12" ht="15" thickBot="1" x14ac:dyDescent="0.35">
      <c r="A1" t="s">
        <v>16</v>
      </c>
      <c r="E1" s="22" t="s">
        <v>14</v>
      </c>
      <c r="F1" s="23" t="s">
        <v>13</v>
      </c>
      <c r="G1" s="23" t="s">
        <v>21</v>
      </c>
      <c r="H1" s="24" t="s">
        <v>25</v>
      </c>
      <c r="J1" s="2" t="s">
        <v>4</v>
      </c>
    </row>
    <row r="2" spans="1:12" ht="15" thickBot="1" x14ac:dyDescent="0.35">
      <c r="A2" t="s">
        <v>20</v>
      </c>
      <c r="C2" s="36" t="s">
        <v>22</v>
      </c>
      <c r="D2" s="4" t="s">
        <v>11</v>
      </c>
      <c r="E2" s="18">
        <v>7.3504699999999997E-9</v>
      </c>
      <c r="F2" s="10">
        <v>2.9409799999999999E-9</v>
      </c>
      <c r="G2" s="10">
        <f xml:space="preserve"> F2 / $A$5</f>
        <v>5.8819599999999996E-10</v>
      </c>
      <c r="H2" s="11">
        <f xml:space="preserve"> 0.5 * G2 * $A$5 * $A$5</f>
        <v>7.3524499999999998E-9</v>
      </c>
      <c r="L2" s="1"/>
    </row>
    <row r="3" spans="1:12" ht="15" thickBot="1" x14ac:dyDescent="0.35">
      <c r="C3" s="37"/>
      <c r="D3" s="6" t="s">
        <v>10</v>
      </c>
      <c r="E3" s="19">
        <v>0</v>
      </c>
      <c r="F3" s="7">
        <v>0</v>
      </c>
      <c r="G3" s="7">
        <f t="shared" ref="G3:G13" si="0" xml:space="preserve"> F3 / $A$5</f>
        <v>0</v>
      </c>
      <c r="H3" s="12">
        <f t="shared" ref="H3:H13" si="1" xml:space="preserve"> 0.5 * G3 * $A$5 * $A$5</f>
        <v>0</v>
      </c>
      <c r="J3" s="28">
        <f xml:space="preserve"> (G2 + G3) * 10^12</f>
        <v>588.19599999999991</v>
      </c>
      <c r="L3" s="1"/>
    </row>
    <row r="4" spans="1:12" ht="15" thickBot="1" x14ac:dyDescent="0.35">
      <c r="A4" t="s">
        <v>15</v>
      </c>
      <c r="C4" s="17"/>
      <c r="D4" t="s">
        <v>2</v>
      </c>
      <c r="E4" s="26">
        <v>5.5128499999999996E-9</v>
      </c>
      <c r="F4" s="16">
        <v>2.2057399999999999E-9</v>
      </c>
      <c r="G4" s="16">
        <f t="shared" si="0"/>
        <v>4.4114799999999995E-10</v>
      </c>
      <c r="H4" s="27">
        <f t="shared" si="1"/>
        <v>5.5143499999999997E-9</v>
      </c>
      <c r="J4" s="3"/>
      <c r="L4" s="1"/>
    </row>
    <row r="5" spans="1:12" ht="15" thickBot="1" x14ac:dyDescent="0.35">
      <c r="A5">
        <v>5</v>
      </c>
      <c r="C5" s="17"/>
      <c r="D5" t="s">
        <v>18</v>
      </c>
      <c r="E5" s="26">
        <v>2.7458499999999999E-10</v>
      </c>
      <c r="F5" s="16">
        <v>1.09913E-10</v>
      </c>
      <c r="G5" s="16">
        <f t="shared" si="0"/>
        <v>2.19826E-11</v>
      </c>
      <c r="H5" s="27">
        <f t="shared" si="1"/>
        <v>2.7478249999999998E-10</v>
      </c>
      <c r="J5" s="28">
        <f t="shared" ref="J5:J13" si="2" xml:space="preserve"> (G4 + G5) * 10^12</f>
        <v>463.13059999999996</v>
      </c>
      <c r="L5" s="1"/>
    </row>
    <row r="6" spans="1:12" ht="15" thickBot="1" x14ac:dyDescent="0.35">
      <c r="C6" s="36" t="s">
        <v>24</v>
      </c>
      <c r="D6" s="4" t="s">
        <v>1</v>
      </c>
      <c r="E6" s="20">
        <v>3.6752399999999998E-9</v>
      </c>
      <c r="F6" s="5">
        <v>1.47049E-9</v>
      </c>
      <c r="G6" s="5">
        <f t="shared" si="0"/>
        <v>2.9409799999999998E-10</v>
      </c>
      <c r="H6" s="13">
        <f t="shared" si="1"/>
        <v>3.6762249999999999E-9</v>
      </c>
      <c r="J6" s="3"/>
      <c r="L6" s="1"/>
    </row>
    <row r="7" spans="1:12" ht="15" thickBot="1" x14ac:dyDescent="0.35">
      <c r="C7" s="37"/>
      <c r="D7" s="6" t="s">
        <v>9</v>
      </c>
      <c r="E7" s="19">
        <v>5.4916999999999998E-10</v>
      </c>
      <c r="F7" s="7">
        <v>2.1982700000000001E-10</v>
      </c>
      <c r="G7" s="7">
        <f t="shared" si="0"/>
        <v>4.3965399999999998E-11</v>
      </c>
      <c r="H7" s="12">
        <f t="shared" si="1"/>
        <v>5.4956749999999992E-10</v>
      </c>
      <c r="J7" s="28">
        <f t="shared" si="2"/>
        <v>338.06339999999994</v>
      </c>
    </row>
    <row r="8" spans="1:12" ht="15" thickBot="1" x14ac:dyDescent="0.35">
      <c r="C8" s="8"/>
      <c r="D8" s="4" t="s">
        <v>0</v>
      </c>
      <c r="E8" s="20">
        <v>1.8376199999999999E-9</v>
      </c>
      <c r="F8" s="5">
        <v>7.3524499999999998E-10</v>
      </c>
      <c r="G8" s="5">
        <f t="shared" si="0"/>
        <v>1.4704899999999999E-10</v>
      </c>
      <c r="H8" s="13">
        <f t="shared" si="1"/>
        <v>1.8381124999999999E-9</v>
      </c>
      <c r="J8" s="3"/>
    </row>
    <row r="9" spans="1:12" ht="15" thickBot="1" x14ac:dyDescent="0.35">
      <c r="C9" s="9"/>
      <c r="D9" s="6" t="s">
        <v>17</v>
      </c>
      <c r="E9" s="19">
        <v>8.2375600000000002E-10</v>
      </c>
      <c r="F9" s="7">
        <v>3.2973999999999999E-10</v>
      </c>
      <c r="G9" s="7">
        <f t="shared" si="0"/>
        <v>6.5947999999999998E-11</v>
      </c>
      <c r="H9" s="12">
        <f t="shared" si="1"/>
        <v>8.2434999999999995E-10</v>
      </c>
      <c r="J9" s="28">
        <f t="shared" si="2"/>
        <v>212.99699999999999</v>
      </c>
    </row>
    <row r="10" spans="1:12" ht="15" thickBot="1" x14ac:dyDescent="0.35">
      <c r="C10" s="8"/>
      <c r="D10" s="4" t="s">
        <v>8</v>
      </c>
      <c r="E10" s="20">
        <v>1.47009E-9</v>
      </c>
      <c r="F10" s="5">
        <v>5.8819599999999996E-10</v>
      </c>
      <c r="G10" s="5">
        <f t="shared" si="0"/>
        <v>1.176392E-10</v>
      </c>
      <c r="H10" s="13">
        <f t="shared" si="1"/>
        <v>1.47049E-9</v>
      </c>
      <c r="J10" s="3"/>
    </row>
    <row r="11" spans="1:12" ht="15" thickBot="1" x14ac:dyDescent="0.35">
      <c r="C11" s="9"/>
      <c r="D11" s="6" t="s">
        <v>7</v>
      </c>
      <c r="E11" s="19">
        <v>8.7867299999999995E-10</v>
      </c>
      <c r="F11" s="7">
        <v>3.5172200000000002E-10</v>
      </c>
      <c r="G11" s="7">
        <f t="shared" si="0"/>
        <v>7.0344400000000006E-11</v>
      </c>
      <c r="H11" s="12">
        <f t="shared" si="1"/>
        <v>8.7930499999999999E-10</v>
      </c>
      <c r="J11" s="28">
        <f t="shared" si="2"/>
        <v>187.98360000000002</v>
      </c>
    </row>
    <row r="12" spans="1:12" ht="15" thickBot="1" x14ac:dyDescent="0.35">
      <c r="C12" s="36" t="s">
        <v>23</v>
      </c>
      <c r="D12" s="4" t="s">
        <v>6</v>
      </c>
      <c r="E12" s="20">
        <v>0</v>
      </c>
      <c r="F12" s="5">
        <v>0</v>
      </c>
      <c r="G12" s="5">
        <f t="shared" si="0"/>
        <v>0</v>
      </c>
      <c r="H12" s="13">
        <f t="shared" si="1"/>
        <v>0</v>
      </c>
      <c r="J12" s="3"/>
    </row>
    <row r="13" spans="1:12" ht="15" thickBot="1" x14ac:dyDescent="0.35">
      <c r="C13" s="37"/>
      <c r="D13" s="6" t="s">
        <v>5</v>
      </c>
      <c r="E13" s="21">
        <v>1.09834E-9</v>
      </c>
      <c r="F13" s="14">
        <v>4.39653E-10</v>
      </c>
      <c r="G13" s="14">
        <f t="shared" si="0"/>
        <v>8.7930599999999998E-11</v>
      </c>
      <c r="H13" s="15">
        <f t="shared" si="1"/>
        <v>1.0991325000000001E-9</v>
      </c>
      <c r="J13" s="28">
        <f t="shared" si="2"/>
        <v>87.930599999999998</v>
      </c>
    </row>
  </sheetData>
  <mergeCells count="3">
    <mergeCell ref="C2:C3"/>
    <mergeCell ref="C12:C13"/>
    <mergeCell ref="C6:C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8397-36C7-458A-BCE9-0F63808AB4B3}">
  <dimension ref="A1:L13"/>
  <sheetViews>
    <sheetView workbookViewId="0">
      <selection activeCell="J3" sqref="J3"/>
    </sheetView>
  </sheetViews>
  <sheetFormatPr defaultRowHeight="14.4" x14ac:dyDescent="0.3"/>
  <cols>
    <col min="1" max="1" width="18.77734375" bestFit="1" customWidth="1"/>
    <col min="2" max="2" width="7.21875" customWidth="1"/>
    <col min="3" max="3" width="8.77734375" bestFit="1" customWidth="1"/>
    <col min="4" max="4" width="11.44140625" bestFit="1" customWidth="1"/>
    <col min="5" max="5" width="16.21875" bestFit="1" customWidth="1"/>
    <col min="6" max="6" width="10.77734375" bestFit="1" customWidth="1"/>
    <col min="7" max="7" width="12.109375" bestFit="1" customWidth="1"/>
    <col min="8" max="8" width="16.44140625" bestFit="1" customWidth="1"/>
    <col min="10" max="10" width="21.44140625" bestFit="1" customWidth="1"/>
    <col min="11" max="11" width="18.109375" customWidth="1"/>
    <col min="12" max="12" width="17.5546875" customWidth="1"/>
  </cols>
  <sheetData>
    <row r="1" spans="1:12" ht="15" thickBot="1" x14ac:dyDescent="0.35">
      <c r="A1" t="s">
        <v>16</v>
      </c>
      <c r="E1" s="22" t="s">
        <v>14</v>
      </c>
      <c r="F1" s="23" t="s">
        <v>13</v>
      </c>
      <c r="G1" s="23" t="s">
        <v>12</v>
      </c>
      <c r="H1" s="24" t="s">
        <v>25</v>
      </c>
      <c r="J1" s="2" t="s">
        <v>4</v>
      </c>
    </row>
    <row r="2" spans="1:12" ht="15" thickBot="1" x14ac:dyDescent="0.35">
      <c r="A2" t="s">
        <v>19</v>
      </c>
      <c r="C2" s="36" t="s">
        <v>22</v>
      </c>
      <c r="D2" s="4" t="s">
        <v>11</v>
      </c>
      <c r="E2" s="18">
        <v>1.6844499999999999E-8</v>
      </c>
      <c r="F2" s="10">
        <v>6.7378100000000003E-9</v>
      </c>
      <c r="G2" s="10">
        <f xml:space="preserve"> F2 /$A$5</f>
        <v>1.3475620000000001E-9</v>
      </c>
      <c r="H2" s="11">
        <f xml:space="preserve"> 0.5 * G2 *$A$5 * $A$5</f>
        <v>1.6844525E-8</v>
      </c>
      <c r="L2" s="1"/>
    </row>
    <row r="3" spans="1:12" ht="15" thickBot="1" x14ac:dyDescent="0.35">
      <c r="C3" s="37"/>
      <c r="D3" s="6" t="s">
        <v>10</v>
      </c>
      <c r="E3" s="19">
        <v>0</v>
      </c>
      <c r="F3" s="7">
        <v>0</v>
      </c>
      <c r="G3" s="7">
        <f t="shared" ref="G3:G13" si="0" xml:space="preserve"> F3 /$A$5</f>
        <v>0</v>
      </c>
      <c r="H3" s="12">
        <f t="shared" ref="H3:H13" si="1" xml:space="preserve"> 0.5 * G3 *$A$5 * $A$5</f>
        <v>0</v>
      </c>
      <c r="J3" s="28">
        <f xml:space="preserve"> (G2 + G3) * 10^12</f>
        <v>1347.5620000000001</v>
      </c>
      <c r="L3" s="1"/>
    </row>
    <row r="4" spans="1:12" ht="15" thickBot="1" x14ac:dyDescent="0.35">
      <c r="A4" t="s">
        <v>15</v>
      </c>
      <c r="C4" s="22"/>
      <c r="D4" s="4" t="s">
        <v>2</v>
      </c>
      <c r="E4" s="20">
        <v>1.26334E-8</v>
      </c>
      <c r="F4" s="5">
        <v>5.0541799999999996E-9</v>
      </c>
      <c r="G4" s="5">
        <f t="shared" si="0"/>
        <v>1.010836E-9</v>
      </c>
      <c r="H4" s="13">
        <f t="shared" si="1"/>
        <v>1.2635449999999998E-8</v>
      </c>
      <c r="J4" s="3"/>
      <c r="L4" s="1"/>
    </row>
    <row r="5" spans="1:12" ht="15" thickBot="1" x14ac:dyDescent="0.35">
      <c r="A5">
        <v>5</v>
      </c>
      <c r="C5" s="25"/>
      <c r="D5" s="6" t="s">
        <v>18</v>
      </c>
      <c r="E5" s="19">
        <v>4.45788E-10</v>
      </c>
      <c r="F5" s="7">
        <v>1.78674E-10</v>
      </c>
      <c r="G5" s="7">
        <f t="shared" si="0"/>
        <v>3.5734800000000001E-11</v>
      </c>
      <c r="H5" s="12">
        <f t="shared" si="1"/>
        <v>4.4668499999999999E-10</v>
      </c>
      <c r="J5" s="28">
        <f t="shared" ref="J5:J13" si="2" xml:space="preserve"> (G4 + G5) * 10^12</f>
        <v>1046.5708</v>
      </c>
      <c r="L5" s="1"/>
    </row>
    <row r="6" spans="1:12" ht="15" thickBot="1" x14ac:dyDescent="0.35">
      <c r="C6" s="36" t="s">
        <v>24</v>
      </c>
      <c r="D6" s="4" t="s">
        <v>1</v>
      </c>
      <c r="E6" s="20">
        <v>8.4222699999999993E-9</v>
      </c>
      <c r="F6" s="5">
        <v>3.3689100000000001E-9</v>
      </c>
      <c r="G6" s="5">
        <f t="shared" si="0"/>
        <v>6.7378200000000004E-10</v>
      </c>
      <c r="H6" s="13">
        <f t="shared" si="1"/>
        <v>8.4222750000000009E-9</v>
      </c>
      <c r="J6" s="3"/>
      <c r="L6" s="1"/>
    </row>
    <row r="7" spans="1:12" ht="15" thickBot="1" x14ac:dyDescent="0.35">
      <c r="C7" s="37"/>
      <c r="D7" s="6" t="s">
        <v>9</v>
      </c>
      <c r="E7" s="19">
        <v>8.91576E-10</v>
      </c>
      <c r="F7" s="7">
        <v>3.5662999999999999E-10</v>
      </c>
      <c r="G7" s="7">
        <f t="shared" si="0"/>
        <v>7.1325999999999992E-11</v>
      </c>
      <c r="H7" s="12">
        <f t="shared" si="1"/>
        <v>8.9157499999999979E-10</v>
      </c>
      <c r="J7" s="28">
        <f t="shared" si="2"/>
        <v>745.10800000000006</v>
      </c>
    </row>
    <row r="8" spans="1:12" ht="15" thickBot="1" x14ac:dyDescent="0.35">
      <c r="C8" s="22"/>
      <c r="D8" s="4" t="s">
        <v>0</v>
      </c>
      <c r="E8" s="20">
        <v>4.2111299999999997E-9</v>
      </c>
      <c r="F8" s="5">
        <v>1.68473E-9</v>
      </c>
      <c r="G8" s="5">
        <f t="shared" si="0"/>
        <v>3.3694600000000003E-10</v>
      </c>
      <c r="H8" s="13">
        <f t="shared" si="1"/>
        <v>4.2118250000000004E-9</v>
      </c>
      <c r="J8" s="3"/>
    </row>
    <row r="9" spans="1:12" ht="15" thickBot="1" x14ac:dyDescent="0.35">
      <c r="C9" s="25"/>
      <c r="D9" s="6" t="s">
        <v>17</v>
      </c>
      <c r="E9" s="19">
        <v>1.33736E-9</v>
      </c>
      <c r="F9" s="7">
        <v>5.36023E-10</v>
      </c>
      <c r="G9" s="7">
        <f t="shared" si="0"/>
        <v>1.0720459999999999E-10</v>
      </c>
      <c r="H9" s="12">
        <f t="shared" si="1"/>
        <v>1.3400575000000001E-9</v>
      </c>
      <c r="J9" s="28">
        <f t="shared" si="2"/>
        <v>444.15060000000005</v>
      </c>
    </row>
    <row r="10" spans="1:12" ht="15" thickBot="1" x14ac:dyDescent="0.35">
      <c r="C10" s="22"/>
      <c r="D10" s="4" t="s">
        <v>8</v>
      </c>
      <c r="E10" s="20">
        <v>3.3689100000000001E-9</v>
      </c>
      <c r="F10" s="5">
        <v>1.34756E-9</v>
      </c>
      <c r="G10" s="5">
        <f t="shared" si="0"/>
        <v>2.69512E-10</v>
      </c>
      <c r="H10" s="13">
        <f t="shared" si="1"/>
        <v>3.3689000000000002E-9</v>
      </c>
      <c r="J10" s="3"/>
    </row>
    <row r="11" spans="1:12" ht="15" thickBot="1" x14ac:dyDescent="0.35">
      <c r="C11" s="25"/>
      <c r="D11" s="6" t="s">
        <v>7</v>
      </c>
      <c r="E11" s="19">
        <v>1.42652E-9</v>
      </c>
      <c r="F11" s="7">
        <v>5.7060800000000004E-10</v>
      </c>
      <c r="G11" s="7">
        <f t="shared" si="0"/>
        <v>1.1412160000000001E-10</v>
      </c>
      <c r="H11" s="12">
        <f t="shared" si="1"/>
        <v>1.4265200000000002E-9</v>
      </c>
      <c r="J11" s="28">
        <f t="shared" si="2"/>
        <v>383.6336</v>
      </c>
    </row>
    <row r="12" spans="1:12" ht="15" thickBot="1" x14ac:dyDescent="0.35">
      <c r="C12" s="36" t="s">
        <v>23</v>
      </c>
      <c r="D12" s="4" t="s">
        <v>6</v>
      </c>
      <c r="E12" s="20">
        <v>0</v>
      </c>
      <c r="F12" s="5">
        <v>0</v>
      </c>
      <c r="G12" s="5">
        <f t="shared" si="0"/>
        <v>0</v>
      </c>
      <c r="H12" s="13">
        <f t="shared" si="1"/>
        <v>0</v>
      </c>
      <c r="J12" s="3"/>
    </row>
    <row r="13" spans="1:12" ht="15" thickBot="1" x14ac:dyDescent="0.35">
      <c r="C13" s="37"/>
      <c r="D13" s="6" t="s">
        <v>5</v>
      </c>
      <c r="E13" s="21">
        <v>1.78315E-9</v>
      </c>
      <c r="F13" s="14">
        <v>7.1326099999999998E-10</v>
      </c>
      <c r="G13" s="14">
        <f t="shared" si="0"/>
        <v>1.426522E-10</v>
      </c>
      <c r="H13" s="15">
        <f t="shared" si="1"/>
        <v>1.7831525E-9</v>
      </c>
      <c r="J13" s="28">
        <f t="shared" si="2"/>
        <v>142.65219999999999</v>
      </c>
    </row>
  </sheetData>
  <mergeCells count="3">
    <mergeCell ref="C2:C3"/>
    <mergeCell ref="C6:C7"/>
    <mergeCell ref="C12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5867-1AFD-4518-8061-84685FFA86D8}">
  <dimension ref="A1:C6"/>
  <sheetViews>
    <sheetView topLeftCell="D1" zoomScaleNormal="100" workbookViewId="0">
      <selection activeCell="N4" sqref="N4"/>
    </sheetView>
  </sheetViews>
  <sheetFormatPr defaultRowHeight="14.4" x14ac:dyDescent="0.3"/>
  <cols>
    <col min="1" max="1" width="17" bestFit="1" customWidth="1"/>
    <col min="2" max="2" width="15" bestFit="1" customWidth="1"/>
    <col min="3" max="3" width="23" bestFit="1" customWidth="1"/>
  </cols>
  <sheetData>
    <row r="1" spans="1:3" x14ac:dyDescent="0.3">
      <c r="A1" t="s">
        <v>3</v>
      </c>
      <c r="B1" t="s">
        <v>26</v>
      </c>
      <c r="C1" t="s">
        <v>27</v>
      </c>
    </row>
    <row r="2" spans="1:3" x14ac:dyDescent="0.3">
      <c r="A2">
        <v>0</v>
      </c>
      <c r="B2" s="3">
        <v>87.930599999999998</v>
      </c>
      <c r="C2" s="3">
        <v>142.65219999999999</v>
      </c>
    </row>
    <row r="3" spans="1:3" x14ac:dyDescent="0.3">
      <c r="A3">
        <v>625</v>
      </c>
      <c r="B3" s="3">
        <v>212.99699999999999</v>
      </c>
      <c r="C3" s="3">
        <v>444.15060000000005</v>
      </c>
    </row>
    <row r="4" spans="1:3" x14ac:dyDescent="0.3">
      <c r="A4">
        <v>1250</v>
      </c>
      <c r="B4" s="3">
        <v>338.06339999999994</v>
      </c>
      <c r="C4" s="3">
        <v>745.10800000000006</v>
      </c>
    </row>
    <row r="5" spans="1:3" x14ac:dyDescent="0.3">
      <c r="A5">
        <v>1875</v>
      </c>
      <c r="B5" s="3">
        <v>463.13059999999996</v>
      </c>
      <c r="C5" s="3">
        <v>1046.5708</v>
      </c>
    </row>
    <row r="6" spans="1:3" x14ac:dyDescent="0.3">
      <c r="A6">
        <v>2500</v>
      </c>
      <c r="B6" s="3">
        <v>588.19599999999991</v>
      </c>
      <c r="C6" s="3">
        <v>1347.5620000000001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AB7E-D769-47BB-9D65-6EE913DA0CE8}">
  <dimension ref="A1:I11"/>
  <sheetViews>
    <sheetView tabSelected="1" workbookViewId="0">
      <selection activeCell="J13" sqref="J13"/>
    </sheetView>
  </sheetViews>
  <sheetFormatPr defaultRowHeight="14.4" x14ac:dyDescent="0.3"/>
  <cols>
    <col min="1" max="1" width="28.88671875" customWidth="1"/>
    <col min="3" max="3" width="14.21875" customWidth="1"/>
    <col min="4" max="4" width="15.44140625" customWidth="1"/>
    <col min="5" max="5" width="10.6640625" customWidth="1"/>
    <col min="6" max="6" width="11" style="31" customWidth="1"/>
    <col min="7" max="7" width="14.5546875" customWidth="1"/>
    <col min="8" max="8" width="11.77734375" style="30" customWidth="1"/>
    <col min="9" max="9" width="14.77734375" customWidth="1"/>
    <col min="10" max="10" width="22.44140625" customWidth="1"/>
  </cols>
  <sheetData>
    <row r="1" spans="1:9" ht="16.2" x14ac:dyDescent="0.3">
      <c r="A1" t="s">
        <v>32</v>
      </c>
      <c r="C1" s="32" t="s">
        <v>28</v>
      </c>
      <c r="D1" s="33" t="s">
        <v>3</v>
      </c>
      <c r="E1" s="34" t="s">
        <v>29</v>
      </c>
      <c r="F1" s="35" t="s">
        <v>30</v>
      </c>
      <c r="G1" s="34" t="s">
        <v>31</v>
      </c>
    </row>
    <row r="2" spans="1:9" x14ac:dyDescent="0.3">
      <c r="A2">
        <v>5.9880000000000003E-2</v>
      </c>
      <c r="C2" s="32">
        <v>0.1</v>
      </c>
      <c r="D2" s="33">
        <f>2500*C2</f>
        <v>250</v>
      </c>
      <c r="E2" s="34">
        <f>C2*2500*(0.5*3500)^2*3.14159/1000^3</f>
        <v>2.4052798437499998</v>
      </c>
      <c r="F2" s="35">
        <f>1-($A$2/E2)</f>
        <v>0.975104767889859</v>
      </c>
      <c r="G2" s="34">
        <v>264</v>
      </c>
    </row>
    <row r="3" spans="1:9" x14ac:dyDescent="0.3">
      <c r="C3" s="32">
        <v>0.25</v>
      </c>
      <c r="D3" s="33">
        <f t="shared" ref="D3:D6" si="0">2500*C3</f>
        <v>625</v>
      </c>
      <c r="E3" s="34">
        <f>C3*2500*(0.5*3500)^2*3.14159/1000^3</f>
        <v>6.0131996093750004</v>
      </c>
      <c r="F3" s="35">
        <f>1-($A$2/E3)</f>
        <v>0.99004190715594353</v>
      </c>
      <c r="G3" s="34">
        <v>444</v>
      </c>
    </row>
    <row r="4" spans="1:9" x14ac:dyDescent="0.3">
      <c r="C4" s="32">
        <v>0.5</v>
      </c>
      <c r="D4" s="33">
        <f t="shared" si="0"/>
        <v>1250</v>
      </c>
      <c r="E4" s="34">
        <f>C4*2500*(0.5*3500)^2*3.14159/1000^3</f>
        <v>12.026399218750001</v>
      </c>
      <c r="F4" s="35">
        <f>1-($A$2/E4)</f>
        <v>0.99502095357797182</v>
      </c>
      <c r="G4" s="34">
        <v>745</v>
      </c>
    </row>
    <row r="5" spans="1:9" x14ac:dyDescent="0.3">
      <c r="C5" s="32">
        <v>0.75</v>
      </c>
      <c r="D5" s="33">
        <f t="shared" si="0"/>
        <v>1875</v>
      </c>
      <c r="E5" s="34">
        <f>C5*2500*(0.5*3500)^2*3.14159/1000^3</f>
        <v>18.039598828125001</v>
      </c>
      <c r="F5" s="35">
        <f>1-($A$2/E5)</f>
        <v>0.99668063571864784</v>
      </c>
      <c r="G5" s="34">
        <v>1047</v>
      </c>
    </row>
    <row r="6" spans="1:9" x14ac:dyDescent="0.3">
      <c r="C6" s="32">
        <v>1</v>
      </c>
      <c r="D6" s="33">
        <f t="shared" si="0"/>
        <v>2500</v>
      </c>
      <c r="E6" s="34">
        <f>C6*2500*(0.5*3500)^2*3.14159/1000^3</f>
        <v>24.052798437500002</v>
      </c>
      <c r="F6" s="35">
        <f>1-($A$2/E6)</f>
        <v>0.99751047678898586</v>
      </c>
      <c r="G6" s="34">
        <v>1348</v>
      </c>
    </row>
    <row r="7" spans="1:9" x14ac:dyDescent="0.3">
      <c r="E7" s="29"/>
    </row>
    <row r="8" spans="1:9" x14ac:dyDescent="0.3">
      <c r="E8" s="29"/>
    </row>
    <row r="9" spans="1:9" x14ac:dyDescent="0.3">
      <c r="E9" s="29"/>
    </row>
    <row r="10" spans="1:9" x14ac:dyDescent="0.3">
      <c r="E10" s="29"/>
    </row>
    <row r="11" spans="1:9" x14ac:dyDescent="0.3">
      <c r="E11" s="29"/>
      <c r="I11" s="3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Silicone Rubber</vt:lpstr>
      <vt:lpstr>PVC</vt:lpstr>
      <vt:lpstr>Comparison</vt:lpstr>
      <vt:lpstr>Accuracy (PVC)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Burden</dc:creator>
  <cp:lastModifiedBy>Kyle Burden</cp:lastModifiedBy>
  <dcterms:created xsi:type="dcterms:W3CDTF">2026-03-05T23:10:34Z</dcterms:created>
  <dcterms:modified xsi:type="dcterms:W3CDTF">2026-05-06T08:18:55Z</dcterms:modified>
</cp:coreProperties>
</file>